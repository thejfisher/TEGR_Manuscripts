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GR Matrix Engine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ER=EPR Tens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0"/>
    <numFmt numFmtId="165" formatCode="0.0000"/>
    <numFmt numFmtId="166" formatCode="0.000000"/>
    <numFmt numFmtId="167" formatCode="0.00000000000"/>
    <numFmt numFmtId="168" formatCode="0.0E+00"/>
  </numFmts>
  <fonts count="15">
    <font>
      <name val="Calibri"/>
      <family val="2"/>
      <color theme="1"/>
      <sz val="11"/>
      <scheme val="minor"/>
    </font>
    <font>
      <name val="Consolas"/>
      <color rgb="00ffffff"/>
      <sz val="11"/>
    </font>
    <font>
      <name val="Consolas"/>
      <b val="1"/>
      <color rgb="00ffffff"/>
      <sz val="14"/>
    </font>
    <font>
      <name val="Consolas"/>
      <color rgb="00aaaaaa"/>
      <sz val="9"/>
    </font>
    <font>
      <name val="Consolas"/>
      <b val="1"/>
      <color rgb="00ffd700"/>
      <sz val="12"/>
    </font>
    <font>
      <name val="Consolas"/>
      <b val="1"/>
      <color rgb="0000e5ff"/>
      <sz val="11"/>
    </font>
    <font>
      <name val="Consolas"/>
      <b val="1"/>
      <color rgb="0000ff88"/>
      <sz val="11"/>
    </font>
    <font>
      <name val="Consolas"/>
      <b val="1"/>
      <color rgb="00e94560"/>
      <sz val="11"/>
    </font>
    <font>
      <name val="Consolas"/>
      <b val="1"/>
      <color rgb="00ff8c00"/>
      <sz val="11"/>
    </font>
    <font>
      <name val="Consolas"/>
      <b val="1"/>
      <color rgb="00ffffff"/>
      <sz val="11"/>
    </font>
    <font>
      <name val="Consolas"/>
      <color rgb="00444444"/>
      <sz val="10"/>
    </font>
    <font>
      <name val="Consolas"/>
      <color rgb="00ffffff"/>
      <sz val="10"/>
    </font>
    <font>
      <name val="Consolas"/>
      <color rgb="0000ff88"/>
      <sz val="10"/>
    </font>
    <font>
      <b val="1"/>
      <sz val="12"/>
    </font>
    <font>
      <b val="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94560"/>
      </patternFill>
    </fill>
    <fill>
      <patternFill patternType="solid">
        <fgColor rgb="00533483"/>
      </patternFill>
    </fill>
    <fill>
      <patternFill patternType="solid">
        <fgColor rgb="004a3f00"/>
      </patternFill>
    </fill>
    <fill>
      <patternFill patternType="solid">
        <fgColor rgb="000a3d2e"/>
      </patternFill>
    </fill>
    <fill>
      <patternFill patternType="solid">
        <fgColor rgb="000d2d4a"/>
      </patternFill>
    </fill>
    <fill>
      <patternFill patternType="solid">
        <fgColor rgb="001a3a1a"/>
      </patternFill>
    </fill>
    <fill>
      <patternFill patternType="solid">
        <fgColor rgb="005a2d00"/>
      </patternFill>
    </fill>
    <fill>
      <patternFill patternType="solid">
        <fgColor rgb="000d0d1a"/>
      </patternFill>
    </fill>
  </fills>
  <borders count="7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  <border>
      <left style="medium">
        <color rgb="00e94560"/>
      </left>
      <right style="medium">
        <color rgb="00e94560"/>
      </right>
      <top style="medium">
        <color rgb="00e94560"/>
      </top>
      <bottom style="medium">
        <color rgb="00e94560"/>
      </bottom>
    </border>
    <border>
      <left/>
      <right/>
      <top style="thin">
        <color rgb="00333333"/>
      </top>
      <bottom/>
      <diagonal/>
    </border>
    <border>
      <left/>
      <right style="thin">
        <color rgb="00333333"/>
      </right>
      <top style="thin">
        <color rgb="00333333"/>
      </top>
      <bottom/>
      <diagonal/>
    </border>
    <border>
      <left/>
      <right style="thin">
        <color rgb="00333333"/>
      </right>
      <top style="thin">
        <color rgb="00333333"/>
      </top>
      <bottom style="thin">
        <color rgb="00333333"/>
      </bottom>
      <diagonal/>
    </border>
    <border>
      <left/>
      <right/>
      <top style="thin">
        <color rgb="00333333"/>
      </top>
      <bottom style="thin">
        <color rgb="00333333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165" fontId="11" fillId="2" borderId="1" applyAlignment="1" pivotButton="0" quotePrefix="0" xfId="0">
      <alignment horizontal="center" vertical="center" wrapText="1"/>
    </xf>
    <xf numFmtId="165" fontId="12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166" fontId="6" fillId="6" borderId="1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166" fontId="6" fillId="8" borderId="1" applyAlignment="1" pivotButton="0" quotePrefix="0" xfId="0">
      <alignment horizontal="center" vertical="center" wrapText="1"/>
    </xf>
    <xf numFmtId="167" fontId="6" fillId="6" borderId="1" applyAlignment="1" pivotButton="0" quotePrefix="0" xfId="0">
      <alignment horizontal="center" vertical="center" wrapText="1"/>
    </xf>
    <xf numFmtId="168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166" fontId="8" fillId="9" borderId="2" applyAlignment="1" pivotButton="0" quotePrefix="0" xfId="0">
      <alignment horizontal="center" vertical="center" wrapText="1"/>
    </xf>
    <xf numFmtId="0" fontId="13" fillId="0" borderId="0" pivotButton="0" quotePrefix="0" xfId="0"/>
    <xf numFmtId="0" fontId="0" fillId="0" borderId="6" pivotButton="0" quotePrefix="0" xfId="0"/>
    <xf numFmtId="0" fontId="0" fillId="0" borderId="5" pivotButton="0" quotePrefix="0" xfId="0"/>
    <xf numFmtId="165" fontId="11" fillId="2" borderId="1" applyAlignment="1" pivotButton="0" quotePrefix="0" xfId="0">
      <alignment horizontal="center" vertical="center" wrapText="1"/>
    </xf>
    <xf numFmtId="165" fontId="12" fillId="6" borderId="1" applyAlignment="1" pivotButton="0" quotePrefix="0" xfId="0">
      <alignment horizontal="center" vertical="center" wrapText="1"/>
    </xf>
    <xf numFmtId="166" fontId="6" fillId="6" borderId="1" applyAlignment="1" pivotButton="0" quotePrefix="0" xfId="0">
      <alignment horizontal="center" vertical="center" wrapText="1"/>
    </xf>
    <xf numFmtId="166" fontId="6" fillId="8" borderId="1" applyAlignment="1" pivotButton="0" quotePrefix="0" xfId="0">
      <alignment horizontal="center" vertical="center" wrapText="1"/>
    </xf>
    <xf numFmtId="167" fontId="6" fillId="6" borderId="1" applyAlignment="1" pivotButton="0" quotePrefix="0" xfId="0">
      <alignment horizontal="center" vertical="center" wrapText="1"/>
    </xf>
    <xf numFmtId="168" fontId="7" fillId="6" borderId="1" applyAlignment="1" pivotButton="0" quotePrefix="0" xfId="0">
      <alignment horizontal="center" vertical="center" wrapText="1"/>
    </xf>
    <xf numFmtId="166" fontId="8" fillId="9" borderId="2" applyAlignment="1" pivotButton="0" quotePrefix="0" xfId="0">
      <alignment horizontal="center" vertical="center" wrapText="1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94560"/>
    <outlinePr summaryBelow="1" summaryRight="1"/>
    <pageSetUpPr/>
  </sheetPr>
  <dimension ref="A1:W93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3" customWidth="1" min="3" max="3"/>
    <col width="22" customWidth="1" min="4" max="4"/>
    <col width="2" customWidth="1" min="5" max="5"/>
    <col width="18" customWidth="1" min="6" max="6"/>
    <col width="13" customWidth="1" min="7" max="7"/>
    <col width="22" customWidth="1" min="8" max="8"/>
    <col width="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2" customWidth="1" min="20" max="20"/>
    <col width="18" customWidth="1" min="21" max="21"/>
    <col width="15" customWidth="1" min="22" max="22"/>
    <col width="20" customWidth="1" min="23" max="23"/>
  </cols>
  <sheetData>
    <row r="1">
      <c r="A1" s="1" t="n"/>
      <c r="B1" s="2" t="inlineStr">
        <is>
          <t>TEGR 10x10 JACOBIAN MATRIX ENGINE + TICK SIMULATOR</t>
        </is>
      </c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  <c r="T1" s="1" t="n"/>
      <c r="U1" s="1" t="n"/>
      <c r="V1" s="1" t="n"/>
      <c r="W1" s="1" t="n"/>
    </row>
    <row r="2">
      <c r="A2" s="1" t="n"/>
      <c r="B2" s="3" t="inlineStr">
        <is>
          <t>GOLD cells = type your numbers  |  GREEN cells = auto-computed  |  ORANGE = tick output</t>
        </is>
      </c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7" t="n"/>
      <c r="T2" s="1" t="n"/>
      <c r="U2" s="1" t="n"/>
      <c r="V2" s="1" t="n"/>
      <c r="W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4" t="inlineStr">
        <is>
          <t>10x10 JACOBIAN J (for stability analysis / PySINDy)</t>
        </is>
      </c>
      <c r="K3" s="26" t="n"/>
      <c r="L3" s="26" t="n"/>
      <c r="M3" s="26" t="n"/>
      <c r="N3" s="26" t="n"/>
      <c r="O3" s="26" t="n"/>
      <c r="P3" s="26" t="n"/>
      <c r="Q3" s="26" t="n"/>
      <c r="R3" s="26" t="n"/>
      <c r="S3" s="27" t="n"/>
      <c r="T3" s="1" t="n"/>
      <c r="U3" s="1" t="n"/>
      <c r="V3" s="1" t="n"/>
      <c r="W3" s="1" t="n"/>
    </row>
    <row r="4">
      <c r="A4" s="1" t="n"/>
      <c r="B4" s="4" t="inlineStr">
        <is>
          <t>STATE VECTOR X (INPUT)</t>
        </is>
      </c>
      <c r="C4" s="27" t="n"/>
      <c r="D4" s="1" t="n"/>
      <c r="E4" s="1" t="n"/>
      <c r="F4" s="5" t="inlineStr">
        <is>
          <t>HELPERS (auto)</t>
        </is>
      </c>
      <c r="G4" s="27" t="n"/>
      <c r="H4" s="1" t="n"/>
      <c r="I4" s="1" t="n"/>
      <c r="J4" s="6" t="inlineStr">
        <is>
          <t>d/dt</t>
        </is>
      </c>
      <c r="K4" s="6" t="inlineStr">
        <is>
          <t>d/dx</t>
        </is>
      </c>
      <c r="L4" s="6" t="inlineStr">
        <is>
          <t>d/dy</t>
        </is>
      </c>
      <c r="M4" s="6" t="inlineStr">
        <is>
          <t>d/dz</t>
        </is>
      </c>
      <c r="N4" s="6" t="inlineStr">
        <is>
          <t>d/dpx</t>
        </is>
      </c>
      <c r="O4" s="6" t="inlineStr">
        <is>
          <t>d/dpy</t>
        </is>
      </c>
      <c r="P4" s="6" t="inlineStr">
        <is>
          <t>d/dpz</t>
        </is>
      </c>
      <c r="Q4" s="6" t="inlineStr">
        <is>
          <t>d/dm0</t>
        </is>
      </c>
      <c r="R4" s="6" t="inlineStr">
        <is>
          <t>d/dth</t>
        </is>
      </c>
      <c r="S4" s="6" t="inlineStr">
        <is>
          <t>d/dgam</t>
        </is>
      </c>
      <c r="T4" s="1" t="n"/>
      <c r="U4" s="1" t="n"/>
      <c r="V4" s="1" t="n"/>
      <c r="W4" s="1" t="n"/>
    </row>
    <row r="5">
      <c r="A5" s="1" t="n"/>
      <c r="B5" s="7" t="inlineStr">
        <is>
          <t>t</t>
        </is>
      </c>
      <c r="C5" s="8" t="n">
        <v>0</v>
      </c>
      <c r="D5" s="3" t="inlineStr">
        <is>
          <t>Coordinate time</t>
        </is>
      </c>
      <c r="E5" s="1" t="n"/>
      <c r="F5" s="7" t="inlineStr">
        <is>
          <t>r</t>
        </is>
      </c>
      <c r="G5" s="9">
        <f>SQRT(C6^2+C7^2+C8^2)</f>
        <v/>
      </c>
      <c r="H5" s="3" t="inlineStr">
        <is>
          <t>Radial distance</t>
        </is>
      </c>
      <c r="I5" s="6" t="inlineStr">
        <is>
          <t>t-dot</t>
        </is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  <c r="P5" s="10" t="n">
        <v>0</v>
      </c>
      <c r="Q5" s="10" t="n">
        <v>0</v>
      </c>
      <c r="R5" s="10" t="n">
        <v>0</v>
      </c>
      <c r="S5" s="28" t="n">
        <v>1</v>
      </c>
      <c r="T5" s="1" t="n"/>
      <c r="U5" s="1" t="n"/>
      <c r="V5" s="1" t="n"/>
      <c r="W5" s="1" t="n"/>
    </row>
    <row r="6">
      <c r="A6" s="1" t="n"/>
      <c r="B6" s="7" t="inlineStr">
        <is>
          <t>x</t>
        </is>
      </c>
      <c r="C6" s="8" t="n">
        <v>2</v>
      </c>
      <c r="D6" s="3" t="inlineStr">
        <is>
          <t>Position x</t>
        </is>
      </c>
      <c r="E6" s="1" t="n"/>
      <c r="F6" s="7" t="inlineStr">
        <is>
          <t>gm0</t>
        </is>
      </c>
      <c r="G6" s="9">
        <f>C14*C12</f>
        <v/>
      </c>
      <c r="H6" s="3" t="inlineStr">
        <is>
          <t>gamma * m0</t>
        </is>
      </c>
      <c r="I6" s="6" t="inlineStr">
        <is>
          <t>x-dot</t>
        </is>
      </c>
      <c r="J6" s="10" t="n">
        <v>0</v>
      </c>
      <c r="K6" s="10" t="n">
        <v>0</v>
      </c>
      <c r="L6" s="10" t="n">
        <v>0</v>
      </c>
      <c r="M6" s="10" t="n">
        <v>0</v>
      </c>
      <c r="N6" s="29">
        <f>1/(C14*C12)</f>
        <v/>
      </c>
      <c r="O6" s="10" t="n">
        <v>0</v>
      </c>
      <c r="P6" s="10" t="n">
        <v>0</v>
      </c>
      <c r="Q6" s="29">
        <f>-C9/(C14*C12^2)</f>
        <v/>
      </c>
      <c r="R6" s="10" t="n">
        <v>0</v>
      </c>
      <c r="S6" s="29">
        <f>-C9/(C14^2*C12)</f>
        <v/>
      </c>
      <c r="T6" s="1" t="n"/>
      <c r="U6" s="1" t="n"/>
      <c r="V6" s="1" t="n"/>
      <c r="W6" s="1" t="n"/>
    </row>
    <row r="7">
      <c r="A7" s="1" t="n"/>
      <c r="B7" s="7" t="inlineStr">
        <is>
          <t>y</t>
        </is>
      </c>
      <c r="C7" s="8" t="n">
        <v>0</v>
      </c>
      <c r="D7" s="3" t="inlineStr">
        <is>
          <t>Position y</t>
        </is>
      </c>
      <c r="E7" s="1" t="n"/>
      <c r="F7" s="7" t="inlineStr">
        <is>
          <t>1/gm0</t>
        </is>
      </c>
      <c r="G7" s="9">
        <f>IF(C14*C12=0,"ERR",1/(C14*C12))</f>
        <v/>
      </c>
      <c r="H7" s="3" t="inlineStr">
        <is>
          <t>Velocity scale</t>
        </is>
      </c>
      <c r="I7" s="6" t="inlineStr">
        <is>
          <t>y-dot</t>
        </is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29">
        <f>1/(C14*C12)</f>
        <v/>
      </c>
      <c r="P7" s="10" t="n">
        <v>0</v>
      </c>
      <c r="Q7" s="29">
        <f>-C10/(C14*C12^2)</f>
        <v/>
      </c>
      <c r="R7" s="10" t="n">
        <v>0</v>
      </c>
      <c r="S7" s="29">
        <f>-C10/(C14^2*C12)</f>
        <v/>
      </c>
      <c r="T7" s="1" t="n"/>
      <c r="U7" s="1" t="n"/>
      <c r="V7" s="1" t="n"/>
      <c r="W7" s="1" t="n"/>
    </row>
    <row r="8">
      <c r="A8" s="1" t="n"/>
      <c r="B8" s="7" t="inlineStr">
        <is>
          <t>z</t>
        </is>
      </c>
      <c r="C8" s="8" t="n">
        <v>0</v>
      </c>
      <c r="D8" s="3" t="inlineStr">
        <is>
          <t>Position z</t>
        </is>
      </c>
      <c r="E8" s="1" t="n"/>
      <c r="F8" s="7" t="inlineStr">
        <is>
          <t>vx</t>
        </is>
      </c>
      <c r="G8" s="9">
        <f>C9/(C14*C12)</f>
        <v/>
      </c>
      <c r="H8" s="3" t="inlineStr">
        <is>
          <t>Velocity x</t>
        </is>
      </c>
      <c r="I8" s="6" t="inlineStr">
        <is>
          <t>z-dot</t>
        </is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29">
        <f>1/(C14*C12)</f>
        <v/>
      </c>
      <c r="Q8" s="29">
        <f>-C11/(C14*C12^2)</f>
        <v/>
      </c>
      <c r="R8" s="10" t="n">
        <v>0</v>
      </c>
      <c r="S8" s="29">
        <f>-C11/(C14^2*C12)</f>
        <v/>
      </c>
      <c r="T8" s="1" t="n"/>
      <c r="U8" s="1" t="n"/>
      <c r="V8" s="1" t="n"/>
      <c r="W8" s="1" t="n"/>
    </row>
    <row r="9">
      <c r="A9" s="1" t="n"/>
      <c r="B9" s="7" t="inlineStr">
        <is>
          <t>px</t>
        </is>
      </c>
      <c r="C9" s="8" t="n">
        <v>0</v>
      </c>
      <c r="D9" s="3" t="inlineStr">
        <is>
          <t>Momentum x</t>
        </is>
      </c>
      <c r="E9" s="1" t="n"/>
      <c r="F9" s="7" t="inlineStr">
        <is>
          <t>vy</t>
        </is>
      </c>
      <c r="G9" s="9">
        <f>C10/(C14*C12)</f>
        <v/>
      </c>
      <c r="H9" s="3" t="inlineStr">
        <is>
          <t>Velocity y</t>
        </is>
      </c>
      <c r="I9" s="6" t="inlineStr">
        <is>
          <t>px-dot</t>
        </is>
      </c>
      <c r="J9" s="10" t="n">
        <v>0</v>
      </c>
      <c r="K9" s="29">
        <f>C18*C12*(3*C6^2-(C6^2+C7^2+C8^2))/G5^5</f>
        <v/>
      </c>
      <c r="L9" s="29">
        <f>C18*C12*3*C6*C7/G5^5</f>
        <v/>
      </c>
      <c r="M9" s="29">
        <f>C18*C12*3*C6*C8/G5^5</f>
        <v/>
      </c>
      <c r="N9" s="10" t="n">
        <v>0</v>
      </c>
      <c r="O9" s="29">
        <f>(C19*C24+C20*C27)/(C14*C12)</f>
        <v/>
      </c>
      <c r="P9" s="29">
        <f>-(C19*C23+C20*C26)/(C14*C12)</f>
        <v/>
      </c>
      <c r="Q9" s="29">
        <f>-C18*C6/G12-(G22+G26)/C12</f>
        <v/>
      </c>
      <c r="R9" s="10" t="n">
        <v>0</v>
      </c>
      <c r="S9" s="29">
        <f>-((C19*C24+C20*C27)*C10-(C19*C23+C20*C26)*C11)/(C14^2*C12)</f>
        <v/>
      </c>
      <c r="T9" s="1" t="n"/>
      <c r="U9" s="1" t="n"/>
      <c r="V9" s="1" t="n"/>
      <c r="W9" s="1" t="n"/>
    </row>
    <row r="10">
      <c r="A10" s="1" t="n"/>
      <c r="B10" s="7" t="inlineStr">
        <is>
          <t>py</t>
        </is>
      </c>
      <c r="C10" s="8" t="n">
        <v>0.4</v>
      </c>
      <c r="D10" s="3" t="inlineStr">
        <is>
          <t>Momentum y</t>
        </is>
      </c>
      <c r="E10" s="1" t="n"/>
      <c r="F10" s="7" t="inlineStr">
        <is>
          <t>vz</t>
        </is>
      </c>
      <c r="G10" s="9">
        <f>C11/(C14*C12)</f>
        <v/>
      </c>
      <c r="H10" s="3" t="inlineStr">
        <is>
          <t>Velocity z</t>
        </is>
      </c>
      <c r="I10" s="6" t="inlineStr">
        <is>
          <t>py-dot</t>
        </is>
      </c>
      <c r="J10" s="10" t="n">
        <v>0</v>
      </c>
      <c r="K10" s="29">
        <f>C18*C12*3*C7*C6/G5^5</f>
        <v/>
      </c>
      <c r="L10" s="29">
        <f>C18*C12*(3*C7^2-(C6^2+C7^2+C8^2))/G5^5</f>
        <v/>
      </c>
      <c r="M10" s="29">
        <f>C18*C12*3*C7*C8/G5^5</f>
        <v/>
      </c>
      <c r="N10" s="29">
        <f>-(C19*C24+C20*C27)/(C14*C12)</f>
        <v/>
      </c>
      <c r="O10" s="10" t="n">
        <v>0</v>
      </c>
      <c r="P10" s="29">
        <f>(C19*C22+C20*C25)/(C14*C12)</f>
        <v/>
      </c>
      <c r="Q10" s="29">
        <f>-C18*C7/G12-(G23+G27)/C12</f>
        <v/>
      </c>
      <c r="R10" s="10" t="n">
        <v>0</v>
      </c>
      <c r="S10" s="29">
        <f>((C19*C24+C20*C27)*C9-(C19*C22+C20*C25)*C11)/(C14^2*C12)</f>
        <v/>
      </c>
      <c r="T10" s="1" t="n"/>
      <c r="U10" s="1" t="n"/>
      <c r="V10" s="1" t="n"/>
      <c r="W10" s="1" t="n"/>
    </row>
    <row r="11">
      <c r="A11" s="1" t="n"/>
      <c r="B11" s="7" t="inlineStr">
        <is>
          <t>pz</t>
        </is>
      </c>
      <c r="C11" s="8" t="n">
        <v>0</v>
      </c>
      <c r="D11" s="3" t="inlineStr">
        <is>
          <t>Momentum z</t>
        </is>
      </c>
      <c r="E11" s="1" t="n"/>
      <c r="F11" s="7" t="inlineStr">
        <is>
          <t>|v|</t>
        </is>
      </c>
      <c r="G11" s="9">
        <f>SQRT(G8^2+G9^2+G10^2)</f>
        <v/>
      </c>
      <c r="H11" s="3" t="inlineStr">
        <is>
          <t>Speed</t>
        </is>
      </c>
      <c r="I11" s="6" t="inlineStr">
        <is>
          <t>pz-dot</t>
        </is>
      </c>
      <c r="J11" s="10" t="n">
        <v>0</v>
      </c>
      <c r="K11" s="29">
        <f>C18*C12*3*C8*C6/G5^5</f>
        <v/>
      </c>
      <c r="L11" s="29">
        <f>C18*C12*3*C8*C7/G5^5</f>
        <v/>
      </c>
      <c r="M11" s="29">
        <f>C18*C12*(3*C8^2-(C6^2+C7^2+C8^2))/G5^5</f>
        <v/>
      </c>
      <c r="N11" s="29">
        <f>(C19*C23+C20*C26)/(C14*C12)</f>
        <v/>
      </c>
      <c r="O11" s="29">
        <f>-(C19*C22+C20*C25)/(C14*C12)</f>
        <v/>
      </c>
      <c r="P11" s="10" t="n">
        <v>0</v>
      </c>
      <c r="Q11" s="29">
        <f>-C18*C8/G12-(G24+G28)/C12</f>
        <v/>
      </c>
      <c r="R11" s="10" t="n">
        <v>0</v>
      </c>
      <c r="S11" s="29">
        <f>-((C19*C23+C20*C26)*C9-(C19*C22+C20*C25)*C10)/(C14^2*C12)</f>
        <v/>
      </c>
      <c r="T11" s="1" t="n"/>
      <c r="U11" s="1" t="n"/>
      <c r="V11" s="1" t="n"/>
      <c r="W11" s="1" t="n"/>
    </row>
    <row r="12">
      <c r="A12" s="1" t="n"/>
      <c r="B12" s="7" t="inlineStr">
        <is>
          <t>m0</t>
        </is>
      </c>
      <c r="C12" s="8" t="n">
        <v>0.511</v>
      </c>
      <c r="D12" s="3" t="inlineStr">
        <is>
          <t>Rest mass (MeV)</t>
        </is>
      </c>
      <c r="E12" s="1" t="n"/>
      <c r="F12" s="7" t="inlineStr">
        <is>
          <t>r^3</t>
        </is>
      </c>
      <c r="G12" s="9">
        <f>G5^3</f>
        <v/>
      </c>
      <c r="H12" s="3" t="inlineStr">
        <is>
          <t>r cubed</t>
        </is>
      </c>
      <c r="I12" s="6" t="inlineStr">
        <is>
          <t>m0-dot</t>
        </is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" t="n"/>
      <c r="U12" s="1" t="n"/>
      <c r="V12" s="1" t="n"/>
      <c r="W12" s="1" t="n"/>
    </row>
    <row r="13">
      <c r="A13" s="1" t="n"/>
      <c r="B13" s="7" t="inlineStr">
        <is>
          <t>theta</t>
        </is>
      </c>
      <c r="C13" s="8" t="n">
        <v>0</v>
      </c>
      <c r="D13" s="3" t="inlineStr">
        <is>
          <t>Phase [0, 2pi]</t>
        </is>
      </c>
      <c r="E13" s="1" t="n"/>
      <c r="F13" s="1" t="n"/>
      <c r="G13" s="1" t="n"/>
      <c r="H13" s="1" t="n"/>
      <c r="I13" s="6" t="inlineStr">
        <is>
          <t>th-dot</t>
        </is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0</v>
      </c>
      <c r="Q13" s="29">
        <f>C28^2/(C14*C29)</f>
        <v/>
      </c>
      <c r="R13" s="10" t="n">
        <v>0</v>
      </c>
      <c r="S13" s="29">
        <f>-C12*C28^2/(C14^2*C29)</f>
        <v/>
      </c>
      <c r="T13" s="1" t="n"/>
      <c r="U13" s="1" t="n"/>
      <c r="V13" s="1" t="n"/>
      <c r="W13" s="1" t="n"/>
    </row>
    <row r="14">
      <c r="A14" s="1" t="n"/>
      <c r="B14" s="7" t="inlineStr">
        <is>
          <t>gamma</t>
        </is>
      </c>
      <c r="C14" s="8" t="n">
        <v>1.27</v>
      </c>
      <c r="D14" s="3" t="inlineStr">
        <is>
          <t>Lorentz factor (&gt;=1)</t>
        </is>
      </c>
      <c r="E14" s="1" t="n"/>
      <c r="F14" s="1" t="n"/>
      <c r="G14" s="1" t="n"/>
      <c r="H14" s="1" t="n"/>
      <c r="I14" s="6" t="inlineStr">
        <is>
          <t>gam-dot</t>
        </is>
      </c>
      <c r="J14" s="10" t="n">
        <v>0</v>
      </c>
      <c r="K14" s="10" t="n">
        <v>0</v>
      </c>
      <c r="L14" s="10" t="n">
        <v>0</v>
      </c>
      <c r="M14" s="10" t="n">
        <v>0</v>
      </c>
      <c r="N14" s="29">
        <f>G30/(C14*C12^2*C28^2)-(C9*G30+C10*G31+C11*G32)*C9/(C14^3*C12^4*C28^4)</f>
        <v/>
      </c>
      <c r="O14" s="29">
        <f>G31/(C14*C12^2*C28^2)-(C9*G30+C10*G31+C11*G32)*C10/(C14^3*C12^4*C28^4)</f>
        <v/>
      </c>
      <c r="P14" s="29">
        <f>G32/(C14*C12^2*C28^2)-(C9*G30+C10*G31+C11*G32)*C11/(C14^3*C12^4*C28^4)</f>
        <v/>
      </c>
      <c r="Q14" s="10" t="n">
        <v>0</v>
      </c>
      <c r="R14" s="10" t="n">
        <v>0</v>
      </c>
      <c r="S14" s="10" t="n">
        <v>0</v>
      </c>
      <c r="T14" s="1" t="n"/>
      <c r="U14" s="1" t="n"/>
      <c r="V14" s="1" t="n"/>
      <c r="W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</row>
    <row r="17">
      <c r="A17" s="1" t="n"/>
      <c r="B17" s="4" t="inlineStr">
        <is>
          <t>PARAMETERS (INPUT)</t>
        </is>
      </c>
      <c r="C17" s="27" t="n"/>
      <c r="D17" s="1" t="n"/>
      <c r="E17" s="1" t="n"/>
      <c r="F17" s="5" t="inlineStr">
        <is>
          <t>FORCES (auto)</t>
        </is>
      </c>
      <c r="G17" s="27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</row>
    <row r="18">
      <c r="A18" s="1" t="n"/>
      <c r="B18" s="7" t="inlineStr">
        <is>
          <t>GM</t>
        </is>
      </c>
      <c r="C18" s="8" t="n">
        <v>8</v>
      </c>
      <c r="D18" s="3" t="inlineStr">
        <is>
          <t>Grav. mass parameter</t>
        </is>
      </c>
      <c r="E18" s="1" t="n"/>
      <c r="F18" s="7" t="inlineStr">
        <is>
          <t>Fgrav_x</t>
        </is>
      </c>
      <c r="G18" s="9">
        <f>-C18*C12*C6/G12</f>
        <v/>
      </c>
      <c r="H18" s="3" t="inlineStr">
        <is>
          <t>-GM*m0*x/r^3</t>
        </is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</row>
    <row r="19">
      <c r="A19" s="1" t="n"/>
      <c r="B19" s="7" t="inlineStr">
        <is>
          <t>kg</t>
        </is>
      </c>
      <c r="C19" s="8" t="n">
        <v>0.1</v>
      </c>
      <c r="D19" s="3" t="inlineStr">
        <is>
          <t>Spin-gravity coupling</t>
        </is>
      </c>
      <c r="E19" s="1" t="n"/>
      <c r="F19" s="7" t="inlineStr">
        <is>
          <t>Fgrav_y</t>
        </is>
      </c>
      <c r="G19" s="9">
        <f>-C18*C12*C7/G12</f>
        <v/>
      </c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</row>
    <row r="20">
      <c r="A20" s="1" t="n"/>
      <c r="B20" s="7" t="inlineStr">
        <is>
          <t>q</t>
        </is>
      </c>
      <c r="C20" s="8" t="n">
        <v>1</v>
      </c>
      <c r="D20" s="3" t="inlineStr">
        <is>
          <t>Defect charge</t>
        </is>
      </c>
      <c r="E20" s="1" t="n"/>
      <c r="F20" s="7" t="inlineStr">
        <is>
          <t>Fgrav_z</t>
        </is>
      </c>
      <c r="G20" s="9">
        <f>-C18*C12*C8/G12</f>
        <v/>
      </c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</row>
    <row r="21">
      <c r="A21" s="1" t="n"/>
      <c r="B21" s="7" t="inlineStr">
        <is>
          <t>chi</t>
        </is>
      </c>
      <c r="C21" s="8" t="n">
        <v>1</v>
      </c>
      <c r="D21" s="3" t="inlineStr">
        <is>
          <t>Exclusion coupling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</row>
    <row r="22">
      <c r="A22" s="1" t="n"/>
      <c r="B22" s="7" t="inlineStr">
        <is>
          <t>wx</t>
        </is>
      </c>
      <c r="C22" s="8" t="n">
        <v>0</v>
      </c>
      <c r="D22" s="3" t="inlineStr">
        <is>
          <t>Spin vorticity x</t>
        </is>
      </c>
      <c r="E22" s="1" t="n"/>
      <c r="F22" s="7" t="inlineStr">
        <is>
          <t>Fsg_x</t>
        </is>
      </c>
      <c r="G22" s="9">
        <f>C19*(G9*C24-G10*C23)</f>
        <v/>
      </c>
      <c r="H22" s="3" t="inlineStr">
        <is>
          <t>kg*(vy*wz-vz*wy)</t>
        </is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</row>
    <row r="23">
      <c r="A23" s="1" t="n"/>
      <c r="B23" s="7" t="inlineStr">
        <is>
          <t>wy</t>
        </is>
      </c>
      <c r="C23" s="8" t="n">
        <v>0</v>
      </c>
      <c r="D23" s="3" t="inlineStr">
        <is>
          <t>Spin vorticity y</t>
        </is>
      </c>
      <c r="E23" s="1" t="n"/>
      <c r="F23" s="7" t="inlineStr">
        <is>
          <t>Fsg_y</t>
        </is>
      </c>
      <c r="G23" s="9">
        <f>C19*(G10*C22-G8*C24)</f>
        <v/>
      </c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</row>
    <row r="24">
      <c r="A24" s="1" t="n"/>
      <c r="B24" s="7" t="inlineStr">
        <is>
          <t>wz</t>
        </is>
      </c>
      <c r="C24" s="8" t="n">
        <v>0.5</v>
      </c>
      <c r="D24" s="3" t="inlineStr">
        <is>
          <t>Spin vorticity z</t>
        </is>
      </c>
      <c r="E24" s="1" t="n"/>
      <c r="F24" s="7" t="inlineStr">
        <is>
          <t>Fsg_z</t>
        </is>
      </c>
      <c r="G24" s="9">
        <f>C19*(G8*C23-G9*C22)</f>
        <v/>
      </c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</row>
    <row r="25">
      <c r="A25" s="1" t="n"/>
      <c r="B25" s="7" t="inlineStr">
        <is>
          <t>wBx</t>
        </is>
      </c>
      <c r="C25" s="8" t="n">
        <v>0</v>
      </c>
      <c r="D25" s="3" t="inlineStr">
        <is>
          <t>B-field vorticity x</t>
        </is>
      </c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</row>
    <row r="26">
      <c r="A26" s="1" t="n"/>
      <c r="B26" s="7" t="inlineStr">
        <is>
          <t>wBy</t>
        </is>
      </c>
      <c r="C26" s="8" t="n">
        <v>0</v>
      </c>
      <c r="D26" s="3" t="inlineStr">
        <is>
          <t>B-field vorticity y</t>
        </is>
      </c>
      <c r="E26" s="1" t="n"/>
      <c r="F26" s="7" t="inlineStr">
        <is>
          <t>Fmag_x</t>
        </is>
      </c>
      <c r="G26" s="9">
        <f>C20*(G9*C27-G10*C26)</f>
        <v/>
      </c>
      <c r="H26" s="3" t="inlineStr">
        <is>
          <t>q*(vy*wBz-vz*wBy)</t>
        </is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</row>
    <row r="27">
      <c r="A27" s="1" t="n"/>
      <c r="B27" s="7" t="inlineStr">
        <is>
          <t>wBz</t>
        </is>
      </c>
      <c r="C27" s="8" t="n">
        <v>0.1</v>
      </c>
      <c r="D27" s="3" t="inlineStr">
        <is>
          <t>B-field vorticity z</t>
        </is>
      </c>
      <c r="E27" s="1" t="n"/>
      <c r="F27" s="7" t="inlineStr">
        <is>
          <t>Fmag_y</t>
        </is>
      </c>
      <c r="G27" s="9">
        <f>C20*(G10*C25-G8*C27)</f>
        <v/>
      </c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</row>
    <row r="28">
      <c r="A28" s="1" t="n"/>
      <c r="B28" s="7" t="inlineStr">
        <is>
          <t>c</t>
        </is>
      </c>
      <c r="C28" s="8" t="n">
        <v>1</v>
      </c>
      <c r="D28" s="3" t="inlineStr">
        <is>
          <t>Speed of light</t>
        </is>
      </c>
      <c r="E28" s="1" t="n"/>
      <c r="F28" s="7" t="inlineStr">
        <is>
          <t>Fmag_z</t>
        </is>
      </c>
      <c r="G28" s="9">
        <f>C20*(G8*C26-G9*C25)</f>
        <v/>
      </c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</row>
    <row r="29">
      <c r="A29" s="1" t="n"/>
      <c r="B29" s="7" t="inlineStr">
        <is>
          <t>hbar</t>
        </is>
      </c>
      <c r="C29" s="8" t="n">
        <v>1</v>
      </c>
      <c r="D29" s="3" t="inlineStr">
        <is>
          <t>Reduced Planck const</t>
        </is>
      </c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</row>
    <row r="30">
      <c r="A30" s="1" t="n"/>
      <c r="B30" s="7" t="inlineStr">
        <is>
          <t>dt</t>
        </is>
      </c>
      <c r="C30" s="8" t="n">
        <v>0.02</v>
      </c>
      <c r="D30" s="3" t="inlineStr">
        <is>
          <t>TIMESTEP (tick size)</t>
        </is>
      </c>
      <c r="E30" s="1" t="n"/>
      <c r="F30" s="6" t="inlineStr">
        <is>
          <t>Ftot_x</t>
        </is>
      </c>
      <c r="G30" s="13">
        <f>G18+G22+G26</f>
        <v/>
      </c>
      <c r="H30" s="3" t="inlineStr">
        <is>
          <t>Fgrav+Fsg+Fmag</t>
        </is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</row>
    <row r="31">
      <c r="A31" s="1" t="n"/>
      <c r="B31" s="7" t="inlineStr">
        <is>
          <t>v_cap</t>
        </is>
      </c>
      <c r="C31" s="8" t="n">
        <v>0.99</v>
      </c>
      <c r="D31" s="3" t="inlineStr">
        <is>
          <t>Speed cap (fraction of c)</t>
        </is>
      </c>
      <c r="E31" s="1" t="n"/>
      <c r="F31" s="6" t="inlineStr">
        <is>
          <t>Ftot_y</t>
        </is>
      </c>
      <c r="G31" s="13">
        <f>G19+G23+G27</f>
        <v/>
      </c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</row>
    <row r="32">
      <c r="A32" s="1" t="n"/>
      <c r="B32" s="1" t="n"/>
      <c r="C32" s="1" t="n"/>
      <c r="D32" s="1" t="n"/>
      <c r="E32" s="1" t="n"/>
      <c r="F32" s="6" t="inlineStr">
        <is>
          <t>Ftot_z</t>
        </is>
      </c>
      <c r="G32" s="13">
        <f>G20+G24+G28</f>
        <v/>
      </c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</row>
    <row r="35">
      <c r="A35" s="1" t="n"/>
      <c r="B35" s="1" t="n"/>
      <c r="C35" s="1" t="n"/>
      <c r="D35" s="1" t="n"/>
      <c r="E35" s="1" t="n"/>
      <c r="F35" s="4" t="inlineStr">
        <is>
          <t>f(X) DIRECT EQUATIONS OF MOTION</t>
        </is>
      </c>
      <c r="G35" s="26" t="n"/>
      <c r="H35" s="27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</row>
    <row r="36">
      <c r="A36" s="1" t="n"/>
      <c r="B36" s="1" t="n"/>
      <c r="C36" s="1" t="n"/>
      <c r="D36" s="1" t="n"/>
      <c r="E36" s="1" t="n"/>
      <c r="F36" s="6" t="inlineStr">
        <is>
          <t>Variable</t>
        </is>
      </c>
      <c r="G36" s="6" t="inlineStr">
        <is>
          <t>dX/dt</t>
        </is>
      </c>
      <c r="H36" s="6" t="inlineStr">
        <is>
          <t>Equation</t>
        </is>
      </c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</row>
    <row r="37">
      <c r="A37" s="1" t="n"/>
      <c r="B37" s="1" t="n"/>
      <c r="C37" s="1" t="n"/>
      <c r="D37" s="1" t="n"/>
      <c r="E37" s="1" t="n"/>
      <c r="F37" s="7" t="inlineStr">
        <is>
          <t>dt/dt</t>
        </is>
      </c>
      <c r="G37" s="30">
        <f>C14</f>
        <v/>
      </c>
      <c r="H37" s="3" t="inlineStr">
        <is>
          <t>gamma (proper time)</t>
        </is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</row>
    <row r="38">
      <c r="A38" s="1" t="n"/>
      <c r="B38" s="1" t="n"/>
      <c r="C38" s="1" t="n"/>
      <c r="D38" s="1" t="n"/>
      <c r="E38" s="1" t="n"/>
      <c r="F38" s="7" t="inlineStr">
        <is>
          <t>dx/dt</t>
        </is>
      </c>
      <c r="G38" s="30">
        <f>G8</f>
        <v/>
      </c>
      <c r="H38" s="3" t="inlineStr">
        <is>
          <t>vx -- px/(gamma*m0)</t>
        </is>
      </c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</row>
    <row r="39">
      <c r="A39" s="1" t="n"/>
      <c r="B39" s="1" t="n"/>
      <c r="C39" s="1" t="n"/>
      <c r="D39" s="1" t="n"/>
      <c r="E39" s="1" t="n"/>
      <c r="F39" s="7" t="inlineStr">
        <is>
          <t>dy/dt</t>
        </is>
      </c>
      <c r="G39" s="30">
        <f>G9</f>
        <v/>
      </c>
      <c r="H39" s="3" t="inlineStr">
        <is>
          <t>vy</t>
        </is>
      </c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</row>
    <row r="40">
      <c r="A40" s="1" t="n"/>
      <c r="B40" s="1" t="n"/>
      <c r="C40" s="1" t="n"/>
      <c r="D40" s="1" t="n"/>
      <c r="E40" s="1" t="n"/>
      <c r="F40" s="7" t="inlineStr">
        <is>
          <t>dz/dt</t>
        </is>
      </c>
      <c r="G40" s="30">
        <f>G10</f>
        <v/>
      </c>
      <c r="H40" s="3" t="inlineStr">
        <is>
          <t>vz</t>
        </is>
      </c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</row>
    <row r="41">
      <c r="A41" s="1" t="n"/>
      <c r="B41" s="1" t="n"/>
      <c r="C41" s="1" t="n"/>
      <c r="D41" s="1" t="n"/>
      <c r="E41" s="1" t="n"/>
      <c r="F41" s="7" t="inlineStr">
        <is>
          <t>dpx/dt</t>
        </is>
      </c>
      <c r="G41" s="30">
        <f>G30</f>
        <v/>
      </c>
      <c r="H41" s="3" t="inlineStr">
        <is>
          <t>Ftotal_x</t>
        </is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</row>
    <row r="42">
      <c r="A42" s="1" t="n"/>
      <c r="B42" s="1" t="n"/>
      <c r="C42" s="1" t="n"/>
      <c r="D42" s="1" t="n"/>
      <c r="E42" s="1" t="n"/>
      <c r="F42" s="7" t="inlineStr">
        <is>
          <t>dpy/dt</t>
        </is>
      </c>
      <c r="G42" s="30">
        <f>G31</f>
        <v/>
      </c>
      <c r="H42" s="3" t="inlineStr">
        <is>
          <t>Ftotal_y</t>
        </is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</row>
    <row r="43">
      <c r="A43" s="1" t="n"/>
      <c r="B43" s="1" t="n"/>
      <c r="C43" s="1" t="n"/>
      <c r="D43" s="1" t="n"/>
      <c r="E43" s="1" t="n"/>
      <c r="F43" s="7" t="inlineStr">
        <is>
          <t>dpz/dt</t>
        </is>
      </c>
      <c r="G43" s="30">
        <f>G32</f>
        <v/>
      </c>
      <c r="H43" s="3" t="inlineStr">
        <is>
          <t>Ftotal_z</t>
        </is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</row>
    <row r="44">
      <c r="A44" s="1" t="n"/>
      <c r="B44" s="1" t="n"/>
      <c r="C44" s="1" t="n"/>
      <c r="D44" s="1" t="n"/>
      <c r="E44" s="1" t="n"/>
      <c r="F44" s="7" t="inlineStr">
        <is>
          <t>dm0/dt</t>
        </is>
      </c>
      <c r="G44" s="30" t="n">
        <v>0</v>
      </c>
      <c r="H44" s="3" t="inlineStr">
        <is>
          <t>0 (CONSERVED)</t>
        </is>
      </c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</row>
    <row r="45">
      <c r="A45" s="1" t="n"/>
      <c r="B45" s="1" t="n"/>
      <c r="C45" s="1" t="n"/>
      <c r="D45" s="1" t="n"/>
      <c r="E45" s="1" t="n"/>
      <c r="F45" s="7" t="inlineStr">
        <is>
          <t>dth/dt</t>
        </is>
      </c>
      <c r="G45" s="30">
        <f>(C12/C14)*C28^2/C29</f>
        <v/>
      </c>
      <c r="H45" s="3" t="inlineStr">
        <is>
          <t>gamma*m0*c^2/hbar</t>
        </is>
      </c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</row>
    <row r="46">
      <c r="A46" s="1" t="n"/>
      <c r="B46" s="1" t="n"/>
      <c r="C46" s="1" t="n"/>
      <c r="D46" s="1" t="n"/>
      <c r="E46" s="1" t="n"/>
      <c r="F46" s="7" t="inlineStr">
        <is>
          <t>dgam/dt</t>
        </is>
      </c>
      <c r="G46" s="30" t="inlineStr">
        <is>
          <t>computed in sync</t>
        </is>
      </c>
      <c r="H46" s="3" t="inlineStr">
        <is>
          <t>recomputed from v</t>
        </is>
      </c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</row>
    <row r="49">
      <c r="A49" s="1" t="n"/>
      <c r="B49" s="4" t="inlineStr">
        <is>
          <t>THE TICK ENGINE  --  Section 4 Momentum-Velocity Sync</t>
        </is>
      </c>
      <c r="C49" s="26" t="n"/>
      <c r="D49" s="26" t="n"/>
      <c r="E49" s="26" t="n"/>
      <c r="F49" s="26" t="n"/>
      <c r="G49" s="26" t="n"/>
      <c r="H49" s="27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</row>
    <row r="50">
      <c r="A50" s="1" t="n"/>
      <c r="B50" s="3" t="inlineStr">
        <is>
          <t>Each step computes X(t+dt) from X(t). Copy RESULT back to inputs to advance.</t>
        </is>
      </c>
      <c r="C50" s="26" t="n"/>
      <c r="D50" s="26" t="n"/>
      <c r="E50" s="26" t="n"/>
      <c r="F50" s="26" t="n"/>
      <c r="G50" s="26" t="n"/>
      <c r="H50" s="27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</row>
    <row r="52">
      <c r="A52" s="1" t="n"/>
      <c r="B52" s="15" t="inlineStr">
        <is>
          <t>STEP 1</t>
        </is>
      </c>
      <c r="C52" s="16" t="inlineStr">
        <is>
          <t>Momentum Update</t>
        </is>
      </c>
      <c r="D52" s="17" t="inlineStr">
        <is>
          <t>p_temp = p_old + F*dt</t>
        </is>
      </c>
      <c r="E52" s="1" t="n"/>
      <c r="F52" s="18" t="inlineStr">
        <is>
          <t>CONSERVATION CHECKS</t>
        </is>
      </c>
      <c r="G52" s="26" t="n"/>
      <c r="H52" s="27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</row>
    <row r="53">
      <c r="A53" s="1" t="n"/>
      <c r="B53" s="7" t="inlineStr">
        <is>
          <t>px_temp</t>
        </is>
      </c>
      <c r="C53" s="31">
        <f>C9+G30*C30</f>
        <v/>
      </c>
      <c r="D53" s="3" t="inlineStr">
        <is>
          <t>px + Ftot_x * dt</t>
        </is>
      </c>
      <c r="E53" s="1" t="n"/>
      <c r="F53" s="7" t="inlineStr">
        <is>
          <t>m_inv BEFORE</t>
        </is>
      </c>
      <c r="G53" s="32">
        <f>SQRT((C14*C12)^2-(C9^2+C10^2+C11^2))</f>
        <v/>
      </c>
      <c r="H53" s="3" t="inlineStr">
        <is>
          <t>sqrt(E^2 - |p|^2) should = m0</t>
        </is>
      </c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</row>
    <row r="54">
      <c r="A54" s="1" t="n"/>
      <c r="B54" s="7" t="inlineStr">
        <is>
          <t>py_temp</t>
        </is>
      </c>
      <c r="C54" s="31">
        <f>C10+G31*C30</f>
        <v/>
      </c>
      <c r="D54" s="1" t="n"/>
      <c r="E54" s="1" t="n"/>
      <c r="F54" s="7" t="inlineStr">
        <is>
          <t>m_inv AFTER</t>
        </is>
      </c>
      <c r="G54" s="32">
        <f>SQRT((C14*C12+(G30*C69+G31*C70+G32*C71)*C30/C28^2)^2-C56^2)</f>
        <v/>
      </c>
      <c r="H54" s="3" t="inlineStr">
        <is>
          <t>Euler-step invariant mass (genuine check)</t>
        </is>
      </c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</row>
    <row r="55">
      <c r="A55" s="1" t="n"/>
      <c r="B55" s="7" t="inlineStr">
        <is>
          <t>pz_temp</t>
        </is>
      </c>
      <c r="C55" s="31">
        <f>C11+G32*C30</f>
        <v/>
      </c>
      <c r="D55" s="1" t="n"/>
      <c r="E55" s="1" t="n"/>
      <c r="F55" s="6" t="inlineStr">
        <is>
          <t>MASS LEAKAGE</t>
        </is>
      </c>
      <c r="G55" s="33">
        <f>ABS(G53-G54)</f>
        <v/>
      </c>
      <c r="H55" s="3" t="inlineStr">
        <is>
          <t>should be &lt; 1e-14</t>
        </is>
      </c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</row>
    <row r="56">
      <c r="A56" s="1" t="n"/>
      <c r="B56" s="7" t="inlineStr">
        <is>
          <t>|p_temp|</t>
        </is>
      </c>
      <c r="C56" s="31">
        <f>SQRT(C53^2+C54^2+C55^2)</f>
        <v/>
      </c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</row>
    <row r="57">
      <c r="A57" s="1" t="n"/>
      <c r="B57" s="1" t="n"/>
      <c r="C57" s="1" t="n"/>
      <c r="D57" s="1" t="n"/>
      <c r="E57" s="1" t="n"/>
      <c r="F57" s="7" t="inlineStr">
        <is>
          <t>E BEFORE</t>
        </is>
      </c>
      <c r="G57" s="9">
        <f>C14*C12</f>
        <v/>
      </c>
      <c r="H57" s="3" t="inlineStr">
        <is>
          <t>gamma * m0</t>
        </is>
      </c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</row>
    <row r="58">
      <c r="A58" s="1" t="n"/>
      <c r="B58" s="15" t="inlineStr">
        <is>
          <t>STEP 2</t>
        </is>
      </c>
      <c r="C58" s="16" t="inlineStr">
        <is>
          <t>Velocity from Momentum</t>
        </is>
      </c>
      <c r="D58" s="17" t="inlineStr">
        <is>
          <t>v = p/sqrt(m0^2+|p|^2)</t>
        </is>
      </c>
      <c r="E58" s="1" t="n"/>
      <c r="F58" s="7" t="inlineStr">
        <is>
          <t>E AFTER</t>
        </is>
      </c>
      <c r="G58" s="9">
        <f>C75*C91</f>
        <v/>
      </c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</row>
    <row r="59">
      <c r="A59" s="1" t="n"/>
      <c r="B59" s="7" t="inlineStr">
        <is>
          <t>denom</t>
        </is>
      </c>
      <c r="C59" s="31">
        <f>SQRT((C12*C28)^2+C56^2)/C28</f>
        <v/>
      </c>
      <c r="D59" s="3" t="inlineStr">
        <is>
          <t>sqrt(m0^2 + |p_temp|^2)</t>
        </is>
      </c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</row>
    <row r="60">
      <c r="A60" s="1" t="n"/>
      <c r="B60" s="7" t="inlineStr">
        <is>
          <t>vx_temp</t>
        </is>
      </c>
      <c r="C60" s="31">
        <f>C53/C59</f>
        <v/>
      </c>
      <c r="D60" s="1" t="n"/>
      <c r="E60" s="1" t="n"/>
      <c r="F60" s="7" t="inlineStr">
        <is>
          <t>|v| BEFORE</t>
        </is>
      </c>
      <c r="G60" s="9">
        <f>G11</f>
        <v/>
      </c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</row>
    <row r="61">
      <c r="A61" s="1" t="n"/>
      <c r="B61" s="7" t="inlineStr">
        <is>
          <t>vy_temp</t>
        </is>
      </c>
      <c r="C61" s="31">
        <f>C54/C59</f>
        <v/>
      </c>
      <c r="D61" s="1" t="n"/>
      <c r="E61" s="1" t="n"/>
      <c r="F61" s="7" t="inlineStr">
        <is>
          <t>|v| AFTER</t>
        </is>
      </c>
      <c r="G61" s="9">
        <f>C72</f>
        <v/>
      </c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</row>
    <row r="62">
      <c r="A62" s="1" t="n"/>
      <c r="B62" s="7" t="inlineStr">
        <is>
          <t>vz_temp</t>
        </is>
      </c>
      <c r="C62" s="31">
        <f>C55/C59</f>
        <v/>
      </c>
      <c r="D62" s="1" t="n"/>
      <c r="E62" s="1" t="n"/>
      <c r="F62" s="6" t="inlineStr">
        <is>
          <t>CAUSAL?</t>
        </is>
      </c>
      <c r="G62" s="22">
        <f>IF(C72&lt;C28,"YES v&lt;c","VIOLATION!")</f>
        <v/>
      </c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</row>
    <row r="63">
      <c r="A63" s="1" t="n"/>
      <c r="B63" s="7" t="inlineStr">
        <is>
          <t>|v_temp|</t>
        </is>
      </c>
      <c r="C63" s="31">
        <f>SQRT(C60^2+C61^2+C62^2)</f>
        <v/>
      </c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</row>
    <row r="65">
      <c r="A65" s="1" t="n"/>
      <c r="B65" s="15" t="inlineStr">
        <is>
          <t>STEP 3</t>
        </is>
      </c>
      <c r="C65" s="16" t="inlineStr">
        <is>
          <t>Causal Speed Cap</t>
        </is>
      </c>
      <c r="D65" s="17" t="inlineStr">
        <is>
          <t>cap at 0.99c</t>
        </is>
      </c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</row>
    <row r="66">
      <c r="A66" s="1" t="n"/>
      <c r="B66" s="7" t="inlineStr">
        <is>
          <t>cap_val</t>
        </is>
      </c>
      <c r="C66" s="31">
        <f>C31*C28</f>
        <v/>
      </c>
      <c r="D66" s="3" t="inlineStr">
        <is>
          <t>v_cap * c (0.99)</t>
        </is>
      </c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</row>
    <row r="67">
      <c r="A67" s="1" t="n"/>
      <c r="B67" s="7" t="inlineStr">
        <is>
          <t>capped?</t>
        </is>
      </c>
      <c r="C67" s="23">
        <f>IF(C63&gt;=C66,"YES - CAPPED","no")</f>
        <v/>
      </c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</row>
    <row r="68">
      <c r="A68" s="1" t="n"/>
      <c r="B68" s="7" t="inlineStr">
        <is>
          <t>scale</t>
        </is>
      </c>
      <c r="C68" s="31">
        <f>IF(C63&gt;=C66,C66/C63,1)</f>
        <v/>
      </c>
      <c r="D68" s="3" t="inlineStr">
        <is>
          <t>cap/|v| if capped, else 1</t>
        </is>
      </c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</row>
    <row r="69">
      <c r="A69" s="1" t="n"/>
      <c r="B69" s="7" t="inlineStr">
        <is>
          <t>vx_cap</t>
        </is>
      </c>
      <c r="C69" s="31">
        <f>C60*C68</f>
        <v/>
      </c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</row>
    <row r="70">
      <c r="A70" s="1" t="n"/>
      <c r="B70" s="7" t="inlineStr">
        <is>
          <t>vy_cap</t>
        </is>
      </c>
      <c r="C70" s="31">
        <f>C61*C68</f>
        <v/>
      </c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</row>
    <row r="71">
      <c r="A71" s="1" t="n"/>
      <c r="B71" s="7" t="inlineStr">
        <is>
          <t>vz_cap</t>
        </is>
      </c>
      <c r="C71" s="31">
        <f>C62*C68</f>
        <v/>
      </c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</row>
    <row r="72">
      <c r="A72" s="1" t="n"/>
      <c r="B72" s="7" t="inlineStr">
        <is>
          <t>|v_cap|</t>
        </is>
      </c>
      <c r="C72" s="31">
        <f>SQRT(C69^2+C70^2+C71^2)</f>
        <v/>
      </c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</row>
    <row r="74">
      <c r="A74" s="1" t="n"/>
      <c r="B74" s="15" t="inlineStr">
        <is>
          <t>STEP 4</t>
        </is>
      </c>
      <c r="C74" s="16" t="inlineStr">
        <is>
          <t>Update Lorentz Factor</t>
        </is>
      </c>
      <c r="D74" s="17" t="inlineStr">
        <is>
          <t>gamma = 1/sqrt(1-v^2/c^2)</t>
        </is>
      </c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</row>
    <row r="75">
      <c r="A75" s="1" t="n"/>
      <c r="B75" s="7" t="inlineStr">
        <is>
          <t>gamma_new</t>
        </is>
      </c>
      <c r="C75" s="31">
        <f>1/SQRT(1-C72^2/C28^2)</f>
        <v/>
      </c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</row>
    <row r="77">
      <c r="A77" s="1" t="n"/>
      <c r="B77" s="15" t="inlineStr">
        <is>
          <t>STEP 5</t>
        </is>
      </c>
      <c r="C77" s="16" t="inlineStr">
        <is>
          <t>Re-sync Momentum</t>
        </is>
      </c>
      <c r="D77" s="17" t="inlineStr">
        <is>
          <t>p = gamma*m0*v_capped</t>
        </is>
      </c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</row>
    <row r="78">
      <c r="A78" s="1" t="n"/>
      <c r="B78" s="7" t="inlineStr">
        <is>
          <t>px_new</t>
        </is>
      </c>
      <c r="C78" s="31">
        <f>C75*C12*C69</f>
        <v/>
      </c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</row>
    <row r="79">
      <c r="A79" s="1" t="n"/>
      <c r="B79" s="7" t="inlineStr">
        <is>
          <t>py_new</t>
        </is>
      </c>
      <c r="C79" s="31">
        <f>C75*C12*C70</f>
        <v/>
      </c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</row>
    <row r="80">
      <c r="B80" s="7" t="inlineStr">
        <is>
          <t>pz_new</t>
        </is>
      </c>
      <c r="C80" s="31">
        <f>C75*C12*C71</f>
        <v/>
      </c>
    </row>
    <row r="83">
      <c r="B83" s="4" t="inlineStr">
        <is>
          <t>RESULT: X(t + dt)  --  Copy these back to C5:C14</t>
        </is>
      </c>
      <c r="C83" s="26" t="n"/>
      <c r="D83" s="27" t="n"/>
    </row>
    <row r="84">
      <c r="B84" s="7" t="inlineStr">
        <is>
          <t>t_new</t>
        </is>
      </c>
      <c r="C84" s="34">
        <f>C5+C30</f>
        <v/>
      </c>
      <c r="D84" s="3" t="inlineStr">
        <is>
          <t>t + dt</t>
        </is>
      </c>
    </row>
    <row r="85">
      <c r="B85" s="7" t="inlineStr">
        <is>
          <t>x_new</t>
        </is>
      </c>
      <c r="C85" s="34">
        <f>C6+C69*C30</f>
        <v/>
      </c>
      <c r="D85" s="3" t="inlineStr">
        <is>
          <t>x + vx_cap*dt</t>
        </is>
      </c>
    </row>
    <row r="86">
      <c r="B86" s="7" t="inlineStr">
        <is>
          <t>y_new</t>
        </is>
      </c>
      <c r="C86" s="34">
        <f>C7+C70*C30</f>
        <v/>
      </c>
      <c r="D86" s="3" t="inlineStr">
        <is>
          <t>y + vy_cap*dt</t>
        </is>
      </c>
    </row>
    <row r="87">
      <c r="B87" s="7" t="inlineStr">
        <is>
          <t>z_new</t>
        </is>
      </c>
      <c r="C87" s="34">
        <f>C8+C71*C30</f>
        <v/>
      </c>
      <c r="D87" s="3" t="inlineStr">
        <is>
          <t>z + vz_cap*dt</t>
        </is>
      </c>
    </row>
    <row r="88">
      <c r="B88" s="7" t="inlineStr">
        <is>
          <t>px_new</t>
        </is>
      </c>
      <c r="C88" s="34">
        <f>C78</f>
        <v/>
      </c>
      <c r="D88" s="3" t="inlineStr">
        <is>
          <t>from Step 5</t>
        </is>
      </c>
    </row>
    <row r="89">
      <c r="B89" s="7" t="inlineStr">
        <is>
          <t>py_new</t>
        </is>
      </c>
      <c r="C89" s="34">
        <f>C79</f>
        <v/>
      </c>
      <c r="D89" s="3" t="inlineStr">
        <is>
          <t>from Step 5</t>
        </is>
      </c>
    </row>
    <row r="90">
      <c r="B90" s="7" t="inlineStr">
        <is>
          <t>pz_new</t>
        </is>
      </c>
      <c r="C90" s="34">
        <f>C80</f>
        <v/>
      </c>
      <c r="D90" s="3" t="inlineStr">
        <is>
          <t>from Step 5</t>
        </is>
      </c>
    </row>
    <row r="91">
      <c r="B91" s="7" t="inlineStr">
        <is>
          <t>m0_new</t>
        </is>
      </c>
      <c r="C91" s="34">
        <f>C12</f>
        <v/>
      </c>
      <c r="D91" s="3" t="inlineStr">
        <is>
          <t>CONSERVED (unchanged)</t>
        </is>
      </c>
    </row>
    <row r="92">
      <c r="B92" s="7" t="inlineStr">
        <is>
          <t>theta_new</t>
        </is>
      </c>
      <c r="C92" s="34">
        <f>MOD(C13+(C12/C75)*C28^2/C29*C30, 2*PI())</f>
        <v/>
      </c>
      <c r="D92" s="3" t="inlineStr">
        <is>
          <t>theta + gamma*m0*c^2/hbar*dt mod 2pi</t>
        </is>
      </c>
    </row>
    <row r="93">
      <c r="B93" s="7" t="inlineStr">
        <is>
          <t>gamma_new</t>
        </is>
      </c>
      <c r="C93" s="34">
        <f>C75</f>
        <v/>
      </c>
      <c r="D93" s="3" t="inlineStr">
        <is>
          <t>from Step 4</t>
        </is>
      </c>
    </row>
  </sheetData>
  <mergeCells count="12">
    <mergeCell ref="F4:G4"/>
    <mergeCell ref="B50:H50"/>
    <mergeCell ref="B2:S2"/>
    <mergeCell ref="B49:H49"/>
    <mergeCell ref="F35:H35"/>
    <mergeCell ref="F17:G17"/>
    <mergeCell ref="J3:S3"/>
    <mergeCell ref="B83:D83"/>
    <mergeCell ref="B17:C17"/>
    <mergeCell ref="B1:S1"/>
    <mergeCell ref="F52:H52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33483"/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</cols>
  <sheetData>
    <row r="1">
      <c r="A1" s="25" t="inlineStr"/>
      <c r="B1" t="inlineStr">
        <is>
          <t>HOW TO USE THE TICK ENGINE</t>
        </is>
      </c>
    </row>
    <row r="2">
      <c r="A2" s="25" t="inlineStr"/>
    </row>
    <row r="3">
      <c r="A3" s="25" t="inlineStr">
        <is>
          <t>1.</t>
        </is>
      </c>
      <c r="B3" t="inlineStr">
        <is>
          <t>Enter your initial state vector in the GOLD cells (C5:C14)</t>
        </is>
      </c>
    </row>
    <row r="4">
      <c r="A4" s="25" t="inlineStr"/>
      <c r="B4" t="inlineStr">
        <is>
          <t xml:space="preserve">   t=0, position, momentum, m0=0.511, phase, gamma</t>
        </is>
      </c>
    </row>
    <row r="5">
      <c r="A5" s="25" t="inlineStr"/>
    </row>
    <row r="6">
      <c r="A6" s="25" t="inlineStr">
        <is>
          <t>2.</t>
        </is>
      </c>
      <c r="B6" t="inlineStr">
        <is>
          <t>Enter your parameters in the GOLD cells (C18:C31)</t>
        </is>
      </c>
    </row>
    <row r="7">
      <c r="A7" s="25" t="inlineStr"/>
      <c r="B7" t="inlineStr">
        <is>
          <t xml:space="preserve">   GM, coupling constants, spin, B-field, timestep, speed cap</t>
        </is>
      </c>
    </row>
    <row r="8">
      <c r="A8" s="25" t="inlineStr"/>
    </row>
    <row r="9">
      <c r="A9" s="25" t="inlineStr">
        <is>
          <t>3.</t>
        </is>
      </c>
      <c r="B9" t="inlineStr">
        <is>
          <t>Everything GREEN auto-computes:</t>
        </is>
      </c>
    </row>
    <row r="10">
      <c r="A10" s="25" t="inlineStr"/>
      <c r="B10" t="inlineStr">
        <is>
          <t xml:space="preserve">   - Helper values (velocity, radius, forces)</t>
        </is>
      </c>
    </row>
    <row r="11">
      <c r="A11" s="25" t="inlineStr"/>
      <c r="B11" t="inlineStr">
        <is>
          <t xml:space="preserve">   - f(X) direct equations of motion</t>
        </is>
      </c>
    </row>
    <row r="12">
      <c r="A12" s="25" t="inlineStr"/>
      <c r="B12" t="inlineStr">
        <is>
          <t xml:space="preserve">   - The 5-step tick engine (momentum-velocity sync)</t>
        </is>
      </c>
    </row>
    <row r="13">
      <c r="A13" s="25" t="inlineStr"/>
      <c r="B13" t="inlineStr">
        <is>
          <t xml:space="preserve">   - The 10x10 Jacobian matrix</t>
        </is>
      </c>
    </row>
    <row r="14">
      <c r="A14" s="25" t="inlineStr"/>
      <c r="B14" t="inlineStr">
        <is>
          <t xml:space="preserve">   - Conservation checks</t>
        </is>
      </c>
    </row>
    <row r="15">
      <c r="A15" s="25" t="inlineStr"/>
    </row>
    <row r="16">
      <c r="A16" s="25" t="inlineStr">
        <is>
          <t>4.</t>
        </is>
      </c>
      <c r="B16" t="inlineStr">
        <is>
          <t>Read your NEXT STATE from the ORANGE cells (C84:C93)</t>
        </is>
      </c>
    </row>
    <row r="17">
      <c r="A17" s="25" t="inlineStr"/>
      <c r="B17" t="inlineStr">
        <is>
          <t xml:space="preserve">   These are X(t + dt) after one complete tick</t>
        </is>
      </c>
    </row>
    <row r="18">
      <c r="A18" s="25" t="inlineStr"/>
    </row>
    <row r="19">
      <c r="A19" s="25" t="inlineStr">
        <is>
          <t>5.</t>
        </is>
      </c>
      <c r="B19" t="inlineStr">
        <is>
          <t>TO ADVANCE: Copy C84:C93 and Paste-Values into C5:C14</t>
        </is>
      </c>
    </row>
    <row r="20">
      <c r="A20" s="25" t="inlineStr"/>
      <c r="B20" t="inlineStr">
        <is>
          <t xml:space="preserve">   This overwrites the old state with the new state</t>
        </is>
      </c>
    </row>
    <row r="21">
      <c r="A21" s="25" t="inlineStr"/>
      <c r="B21" t="inlineStr">
        <is>
          <t xml:space="preserve">   Then everything recomputes for the NEXT tick</t>
        </is>
      </c>
    </row>
    <row r="22">
      <c r="A22" s="25" t="inlineStr"/>
      <c r="B22" t="inlineStr">
        <is>
          <t xml:space="preserve">   Repeat to simulate multiple ticks</t>
        </is>
      </c>
    </row>
    <row r="23">
      <c r="A23" s="25" t="inlineStr"/>
    </row>
    <row r="24">
      <c r="A24" s="25" t="inlineStr">
        <is>
          <t>6.</t>
        </is>
      </c>
      <c r="B24" t="inlineStr">
        <is>
          <t>CHECK CONSERVATION:</t>
        </is>
      </c>
    </row>
    <row r="25">
      <c r="A25" s="25" t="inlineStr"/>
      <c r="B25" t="inlineStr">
        <is>
          <t xml:space="preserve">   - Mass leakage (G55) should be &lt; 1e-14</t>
        </is>
      </c>
    </row>
    <row r="26">
      <c r="A26" s="25" t="inlineStr"/>
      <c r="B26" t="inlineStr">
        <is>
          <t xml:space="preserve">   - m0 should never change (row 91)</t>
        </is>
      </c>
    </row>
    <row r="27">
      <c r="A27" s="25" t="inlineStr"/>
      <c r="B27" t="inlineStr">
        <is>
          <t xml:space="preserve">   - Speed should always be &lt; c</t>
        </is>
      </c>
    </row>
    <row r="28">
      <c r="A28" s="25" t="inlineStr"/>
    </row>
    <row r="29">
      <c r="A29" s="25" t="inlineStr"/>
      <c r="B29" t="inlineStr">
        <is>
          <t>THE JACOBIAN MATRIX (columns J-S, rows 4-14)</t>
        </is>
      </c>
    </row>
    <row r="30">
      <c r="A30" s="25" t="inlineStr"/>
      <c r="B30" t="inlineStr">
        <is>
          <t>This is for ANALYSIS, not simulation. Use it to:</t>
        </is>
      </c>
    </row>
    <row r="31">
      <c r="A31" s="25" t="inlineStr"/>
      <c r="B31" t="inlineStr">
        <is>
          <t xml:space="preserve">   - Check eigenvalues for orbital stability</t>
        </is>
      </c>
    </row>
    <row r="32">
      <c r="A32" s="25" t="inlineStr"/>
      <c r="B32" t="inlineStr">
        <is>
          <t xml:space="preserve">   - Compare with PySINDy-extracted coefficients</t>
        </is>
      </c>
    </row>
    <row r="33">
      <c r="A33" s="25" t="inlineStr"/>
      <c r="B33" t="inlineStr">
        <is>
          <t xml:space="preserve">   - Understand which state variables couple to which</t>
        </is>
      </c>
    </row>
    <row r="34">
      <c r="A34" s="25" t="inlineStr"/>
    </row>
    <row r="35">
      <c r="A35" s="25" t="inlineStr"/>
      <c r="B35" t="inlineStr">
        <is>
          <t>KEY DIFFERENCE:</t>
        </is>
      </c>
    </row>
    <row r="36">
      <c r="A36" s="25" t="inlineStr"/>
      <c r="B36" t="inlineStr">
        <is>
          <t xml:space="preserve">   f(X) = the ACTUAL nonlinear equations (for simulation)</t>
        </is>
      </c>
    </row>
    <row r="37">
      <c r="A37" s="25" t="inlineStr"/>
      <c r="B37" t="inlineStr">
        <is>
          <t xml:space="preserve">   J    = the LOCAL linearization (for analysis)</t>
        </is>
      </c>
    </row>
    <row r="38">
      <c r="A38" s="25" t="inlineStr"/>
      <c r="B38" t="inlineStr">
        <is>
          <t xml:space="preserve">   f(X) != J*X  because the system is nonlinear</t>
        </is>
      </c>
    </row>
    <row r="40">
      <c r="B40" s="35" t="inlineStr">
        <is>
          <t>4.0</t>
        </is>
      </c>
      <c r="C40" s="35" t="inlineStr">
        <is>
          <t>INTERPRETING THE 10x10 JACOBIAN (J)</t>
        </is>
      </c>
    </row>
    <row r="41">
      <c r="C41" t="inlineStr">
        <is>
          <t>- The Jacobian matrix (Columns J through S in the Main Engine) computes the partial derivatives of the state vector.</t>
        </is>
      </c>
    </row>
    <row r="42">
      <c r="C42" t="inlineStr">
        <is>
          <t>- IMPORTANT: Ensure no artificial clamps (like a hard 0.99c limit) break the continuous derivatives in J.</t>
        </is>
      </c>
    </row>
    <row r="43">
      <c r="C43" t="inlineStr">
        <is>
          <t>- Row 11 (m0-dot) must remain strictly ZERO across all partials to preserve covariant rest mass (m0_prime = 0).</t>
        </is>
      </c>
    </row>
    <row r="44">
      <c r="C44" t="inlineStr">
        <is>
          <t>- Use this 10x10 continuous matrix directly as the library input for PySINDy sparse regression to extract structural equations.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e5ff"/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t="inlineStr">
        <is>
          <t>ENTANGLEMENT ADJACENCY TENSOR Wij</t>
        </is>
      </c>
    </row>
    <row r="2">
      <c r="A2" t="inlineStr">
        <is>
          <t>(Paper 2: ER=EPR and AMPS Firewall)</t>
        </is>
      </c>
    </row>
    <row r="4">
      <c r="A4" t="inlineStr">
        <is>
          <t>INPUT YOUR VALUES</t>
        </is>
      </c>
      <c r="B4" t="inlineStr">
        <is>
          <t>Particle A</t>
        </is>
      </c>
      <c r="C4" t="inlineStr">
        <is>
          <t>Particle B</t>
        </is>
      </c>
    </row>
    <row r="5">
      <c r="A5" t="inlineStr">
        <is>
          <t>gamma (tension)</t>
        </is>
      </c>
      <c r="B5" t="n">
        <v>5.248</v>
      </c>
      <c r="C5" t="n">
        <v>1.135</v>
      </c>
    </row>
    <row r="6">
      <c r="A6" t="inlineStr">
        <is>
          <t>m0 (MeV)</t>
        </is>
      </c>
      <c r="B6" t="n">
        <v>0.511</v>
      </c>
      <c r="C6" t="n">
        <v>0.511</v>
      </c>
    </row>
    <row r="7">
      <c r="A7" t="inlineStr">
        <is>
          <t>theta_hue</t>
        </is>
      </c>
      <c r="B7" t="n">
        <v>0</v>
      </c>
      <c r="C7" t="n">
        <v>0</v>
      </c>
    </row>
    <row r="9">
      <c r="A9" t="inlineStr">
        <is>
          <t>COMPUTED</t>
        </is>
      </c>
    </row>
    <row r="10">
      <c r="A10" t="inlineStr">
        <is>
          <t>delta_gamma = |gA - gB|</t>
        </is>
      </c>
      <c r="B10">
        <f>ABS(B5-C5)</f>
        <v/>
      </c>
    </row>
    <row r="11">
      <c r="A11" t="inlineStr">
        <is>
          <t>delta_gamma_crit</t>
        </is>
      </c>
      <c r="B11" t="n">
        <v>4</v>
      </c>
      <c r="C11" t="inlineStr">
        <is>
          <t>(pair-production threshold)</t>
        </is>
      </c>
    </row>
    <row r="12">
      <c r="A12" t="inlineStr">
        <is>
          <t>E_strain = dg * m0</t>
        </is>
      </c>
      <c r="B12">
        <f>B10*B6</f>
        <v/>
      </c>
      <c r="C12" t="inlineStr">
        <is>
          <t>MeV</t>
        </is>
      </c>
    </row>
    <row r="14">
      <c r="A14" t="inlineStr">
        <is>
          <t>Wij STATUS</t>
        </is>
      </c>
      <c r="B14">
        <f>IF(B10&lt;B11,"ACTIVE (wormhole open)","SNAPPED -&gt; FIREWALL")</f>
        <v/>
      </c>
    </row>
    <row r="16">
      <c r="A16" t="inlineStr">
        <is>
          <t>IF SNAPPED:</t>
        </is>
      </c>
    </row>
    <row r="17">
      <c r="A17" t="inlineStr">
        <is>
          <t>Energy per particle</t>
        </is>
      </c>
      <c r="B17">
        <f>2*B6</f>
        <v/>
      </c>
      <c r="C17" t="inlineStr">
        <is>
          <t>MeV</t>
        </is>
      </c>
    </row>
    <row r="18">
      <c r="A18" t="inlineStr">
        <is>
          <t>m0 after firewall</t>
        </is>
      </c>
      <c r="B18">
        <f>B6+2*B6</f>
        <v/>
      </c>
      <c r="C18" t="inlineStr">
        <is>
          <t>MeV (= 3*m0)</t>
        </is>
      </c>
    </row>
    <row r="19">
      <c r="A19" t="inlineStr">
        <is>
          <t>Total system cost</t>
        </is>
      </c>
      <c r="B19">
        <f>4*B6</f>
        <v/>
      </c>
      <c r="C19" t="inlineStr">
        <is>
          <t>MeV (= 4*m0 = 2.044)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2026-06-16T04:32:29Z</dcterms:created>
  <dcterms:modified xmlns:dcterms="http://purl.org/dc/terms/" xmlns:xsi="http://www.w3.org/2001/XMLSchema-instance" xsi:type="dcterms:W3CDTF">2026-08-20T18:37:37Z</dcterms:modified>
</cp:coreProperties>
</file>